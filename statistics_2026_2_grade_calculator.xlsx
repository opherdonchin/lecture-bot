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E4B8DD1-EB31-4C25-AAF8-948D04CE3C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rade Calculator" sheetId="1" r:id="rId1"/>
    <sheet name="Lis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K10" i="1" s="1"/>
  <c r="C39" i="1"/>
  <c r="D33" i="1"/>
  <c r="E33" i="1" s="1"/>
  <c r="D32" i="1"/>
  <c r="E32" i="1" s="1"/>
  <c r="D31" i="1"/>
  <c r="E31" i="1" s="1"/>
  <c r="E35" i="1" s="1"/>
  <c r="K8" i="1" s="1"/>
  <c r="G23" i="1"/>
  <c r="F23" i="1"/>
  <c r="H23" i="1" s="1"/>
  <c r="G22" i="1"/>
  <c r="F22" i="1"/>
  <c r="H22" i="1" s="1"/>
  <c r="G21" i="1"/>
  <c r="F21" i="1"/>
  <c r="H21" i="1" s="1"/>
  <c r="G20" i="1"/>
  <c r="F20" i="1"/>
  <c r="H20" i="1" s="1"/>
  <c r="G19" i="1"/>
  <c r="F19" i="1"/>
  <c r="H19" i="1" s="1"/>
  <c r="G18" i="1"/>
  <c r="H18" i="1" s="1"/>
  <c r="F18" i="1"/>
  <c r="G17" i="1"/>
  <c r="F17" i="1"/>
  <c r="H17" i="1" s="1"/>
  <c r="G16" i="1"/>
  <c r="F16" i="1"/>
  <c r="H16" i="1" s="1"/>
  <c r="G15" i="1"/>
  <c r="F15" i="1"/>
  <c r="H15" i="1" s="1"/>
  <c r="G14" i="1"/>
  <c r="F14" i="1"/>
  <c r="H14" i="1" s="1"/>
  <c r="K13" i="1"/>
  <c r="G13" i="1"/>
  <c r="F13" i="1"/>
  <c r="H13" i="1" s="1"/>
  <c r="G12" i="1"/>
  <c r="F12" i="1"/>
  <c r="H12" i="1" s="1"/>
  <c r="G11" i="1"/>
  <c r="F11" i="1"/>
  <c r="H11" i="1" s="1"/>
  <c r="K9" i="1"/>
  <c r="H25" i="1" l="1"/>
  <c r="K5" i="1" l="1"/>
  <c r="K11" i="1" s="1"/>
  <c r="H27" i="1"/>
  <c r="K7" i="1" s="1"/>
  <c r="H26" i="1"/>
  <c r="K6" i="1" s="1"/>
  <c r="K12" i="1" s="1"/>
</calcChain>
</file>

<file path=xl/sharedStrings.xml><?xml version="1.0" encoding="utf-8"?>
<sst xmlns="http://schemas.openxmlformats.org/spreadsheetml/2006/main" count="89" uniqueCount="49">
  <si>
    <t>Statistics 2026-2 Grade Calculator</t>
  </si>
  <si>
    <t>Enter raw grades as percentages from 0 to 100. Formulas compute review activity, exercises, magen quiz calculation, and final course result.</t>
  </si>
  <si>
    <t>Setting</t>
  </si>
  <si>
    <t>Value</t>
  </si>
  <si>
    <t>Summary</t>
  </si>
  <si>
    <t>Number of lectures</t>
  </si>
  <si>
    <t>Review total points</t>
  </si>
  <si>
    <t>Final exam pass threshold</t>
  </si>
  <si>
    <t>Regular review points</t>
  </si>
  <si>
    <t>Extra review credit</t>
  </si>
  <si>
    <t>Exercise total points</t>
  </si>
  <si>
    <t>Review activity: 13 lectures, up to 0.6 points per lecture</t>
  </si>
  <si>
    <t>Quiz contribution</t>
  </si>
  <si>
    <t>Lecture</t>
  </si>
  <si>
    <t>Status</t>
  </si>
  <si>
    <t>WooClap grade</t>
  </si>
  <si>
    <t>Tutor grade</t>
  </si>
  <si>
    <t>Tutor timing</t>
  </si>
  <si>
    <t>WooClap points</t>
  </si>
  <si>
    <t>Tutor points</t>
  </si>
  <si>
    <t>Total points</t>
  </si>
  <si>
    <t>Final exam contribution</t>
  </si>
  <si>
    <t>Attended</t>
  </si>
  <si>
    <t>On time</t>
  </si>
  <si>
    <t>Grade with quiz</t>
  </si>
  <si>
    <t>Grade without quiz</t>
  </si>
  <si>
    <t>Reported course grade</t>
  </si>
  <si>
    <t>Review total</t>
  </si>
  <si>
    <t>Extra credit review points</t>
  </si>
  <si>
    <t>Exercises: 3 exercises, each worth up to 5 points</t>
  </si>
  <si>
    <t>Exercise</t>
  </si>
  <si>
    <t>Raw exercise grade</t>
  </si>
  <si>
    <t>Exercise WooClap passed?</t>
  </si>
  <si>
    <t>Max points</t>
  </si>
  <si>
    <t>Contribution</t>
  </si>
  <si>
    <t>Yes</t>
  </si>
  <si>
    <t>Exercise total</t>
  </si>
  <si>
    <t>Quiz and final exam</t>
  </si>
  <si>
    <t>Midterm quiz raw grade</t>
  </si>
  <si>
    <t>Final exam raw grade</t>
  </si>
  <si>
    <t>Policy notes</t>
  </si>
  <si>
    <t>The midterm quiz is magen: the workbook calculates the grade with the quiz and without the quiz, then uses the better result.</t>
  </si>
  <si>
    <t>The final exam must be passed. If the final exam grade is below the threshold above, the reported course grade displays Fail.</t>
  </si>
  <si>
    <t>Review activity is worth up to 5 regular points plus up to 2.8 extra-credit points, for a maximum of 7.8.</t>
  </si>
  <si>
    <t>Exercise WooClap passed</t>
  </si>
  <si>
    <t>Excused</t>
  </si>
  <si>
    <t>Late</t>
  </si>
  <si>
    <t>No</t>
  </si>
  <si>
    <t>Unexcused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</si>
</sst>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b/>
      <sz val="16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1"/>
      <color rgb="FF1F4E79"/>
      <name val="Carlito"/>
    </font>
    <font>
      <b/>
      <sz val="11"/>
      <name val="Carlito"/>
    </font>
    <font>
      <b/>
      <sz val="12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  <xf numFmtId="2" fontId="0" fillId="6" borderId="0" xfId="0" applyNumberFormat="1" applyFill="1" applyAlignment="1">
      <alignment vertical="center" wrapText="1"/>
    </xf>
    <xf numFmtId="1" fontId="0" fillId="5" borderId="0" xfId="0" applyNumberFormat="1" applyFill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5" fillId="7" borderId="0" xfId="0" applyNumberFormat="1" applyFont="1" applyFill="1" applyAlignment="1">
      <alignment vertical="center" wrapText="1"/>
    </xf>
    <xf numFmtId="2" fontId="0" fillId="5" borderId="0" xfId="0" applyNumberFormat="1" applyFill="1" applyAlignment="1">
      <alignment vertical="center" wrapText="1"/>
    </xf>
    <xf numFmtId="0" fontId="6" fillId="8" borderId="0" xfId="0" applyFont="1" applyFill="1" applyAlignment="1">
      <alignment horizontal="center" vertical="center" wrapText="1"/>
    </xf>
    <xf numFmtId="2" fontId="6" fillId="8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"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99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viewTable" displayName="ReviewTable" ref="A10:H23">
  <tableColumns count="8">
    <tableColumn id="1" xr3:uid="{00000000-0010-0000-0000-000001000000}" name="Lecture"/>
    <tableColumn id="2" xr3:uid="{00000000-0010-0000-0000-000002000000}" name="Status"/>
    <tableColumn id="3" xr3:uid="{00000000-0010-0000-0000-000003000000}" name="WooClap grade"/>
    <tableColumn id="4" xr3:uid="{00000000-0010-0000-0000-000004000000}" name="Tutor grade"/>
    <tableColumn id="5" xr3:uid="{00000000-0010-0000-0000-000005000000}" name="Tutor timing"/>
    <tableColumn id="6" xr3:uid="{00000000-0010-0000-0000-000006000000}" name="WooClap points"/>
    <tableColumn id="7" xr3:uid="{00000000-0010-0000-0000-000007000000}" name="Tutor points"/>
    <tableColumn id="8" xr3:uid="{00000000-0010-0000-0000-000008000000}" name="Total poi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ercisesTable" displayName="ExercisesTable" ref="A30:E33">
  <tableColumns count="5">
    <tableColumn id="1" xr3:uid="{00000000-0010-0000-0100-000001000000}" name="Exercise"/>
    <tableColumn id="2" xr3:uid="{00000000-0010-0000-0100-000002000000}" name="Raw exercise grade"/>
    <tableColumn id="3" xr3:uid="{00000000-0010-0000-0100-000003000000}" name="Exercise WooClap passed?"/>
    <tableColumn id="4" xr3:uid="{00000000-0010-0000-0100-000004000000}" name="Max points"/>
    <tableColumn id="5" xr3:uid="{00000000-0010-0000-0100-000005000000}" name="Contribu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K13" sqref="K13"/>
    </sheetView>
  </sheetViews>
  <sheetFormatPr defaultRowHeight="14.4" x14ac:dyDescent="0.3"/>
  <cols>
    <col min="1" max="1" width="12" customWidth="1"/>
    <col min="2" max="3" width="16" customWidth="1"/>
    <col min="4" max="5" width="14" customWidth="1"/>
    <col min="6" max="7" width="15" customWidth="1"/>
    <col min="8" max="8" width="14" customWidth="1"/>
    <col min="9" max="9" width="3" customWidth="1"/>
    <col min="10" max="10" width="24" customWidth="1"/>
    <col min="11" max="11" width="18" customWidth="1"/>
  </cols>
  <sheetData>
    <row r="1" spans="1:11" ht="61.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26.75" customHeigh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2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2" customHeight="1" x14ac:dyDescent="0.3">
      <c r="A4" s="1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1" t="s">
        <v>4</v>
      </c>
      <c r="K4" s="1" t="s">
        <v>3</v>
      </c>
    </row>
    <row r="5" spans="1:11" ht="30.6" customHeight="1" x14ac:dyDescent="0.3">
      <c r="A5" s="2" t="s">
        <v>5</v>
      </c>
      <c r="B5" s="3">
        <v>13</v>
      </c>
      <c r="C5" s="2"/>
      <c r="D5" s="2"/>
      <c r="E5" s="2"/>
      <c r="F5" s="2"/>
      <c r="G5" s="2"/>
      <c r="H5" s="2"/>
      <c r="I5" s="2"/>
      <c r="J5" s="2" t="s">
        <v>6</v>
      </c>
      <c r="K5" s="4">
        <f>$H$25</f>
        <v>0</v>
      </c>
    </row>
    <row r="6" spans="1:11" ht="26.4" customHeight="1" x14ac:dyDescent="0.3">
      <c r="A6" s="2" t="s">
        <v>7</v>
      </c>
      <c r="B6" s="3">
        <v>56</v>
      </c>
      <c r="C6" s="2"/>
      <c r="D6" s="2"/>
      <c r="E6" s="2"/>
      <c r="F6" s="2"/>
      <c r="G6" s="2"/>
      <c r="H6" s="2"/>
      <c r="I6" s="2"/>
      <c r="J6" s="2" t="s">
        <v>8</v>
      </c>
      <c r="K6" s="4">
        <f>$H$26</f>
        <v>0</v>
      </c>
    </row>
    <row r="7" spans="1:11" ht="12" customHeight="1" x14ac:dyDescent="0.3">
      <c r="A7" s="2"/>
      <c r="B7" s="2"/>
      <c r="C7" s="2"/>
      <c r="D7" s="2"/>
      <c r="E7" s="2"/>
      <c r="F7" s="2"/>
      <c r="G7" s="2"/>
      <c r="H7" s="2"/>
      <c r="I7" s="2"/>
      <c r="J7" s="2" t="s">
        <v>9</v>
      </c>
      <c r="K7" s="4">
        <f>$H$27</f>
        <v>0</v>
      </c>
    </row>
    <row r="8" spans="1:11" ht="12" customHeight="1" x14ac:dyDescent="0.3">
      <c r="A8" s="2"/>
      <c r="B8" s="2"/>
      <c r="C8" s="2"/>
      <c r="D8" s="2"/>
      <c r="E8" s="2"/>
      <c r="F8" s="2"/>
      <c r="G8" s="2"/>
      <c r="H8" s="2"/>
      <c r="I8" s="2"/>
      <c r="J8" s="2" t="s">
        <v>10</v>
      </c>
      <c r="K8" s="4">
        <f>$E$35</f>
        <v>0</v>
      </c>
    </row>
    <row r="9" spans="1:11" ht="52.8" customHeight="1" x14ac:dyDescent="0.3">
      <c r="A9" s="13" t="s">
        <v>11</v>
      </c>
      <c r="B9" s="13" t="s">
        <v>11</v>
      </c>
      <c r="C9" s="13" t="s">
        <v>11</v>
      </c>
      <c r="D9" s="13" t="s">
        <v>11</v>
      </c>
      <c r="E9" s="13" t="s">
        <v>11</v>
      </c>
      <c r="F9" s="13" t="s">
        <v>11</v>
      </c>
      <c r="G9" s="13" t="s">
        <v>11</v>
      </c>
      <c r="H9" s="13" t="s">
        <v>11</v>
      </c>
      <c r="I9" s="2"/>
      <c r="J9" s="2" t="s">
        <v>12</v>
      </c>
      <c r="K9" s="4">
        <f>$C$39</f>
        <v>0</v>
      </c>
    </row>
    <row r="10" spans="1:11" ht="12" customHeight="1" x14ac:dyDescent="0.3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18</v>
      </c>
      <c r="G10" s="1" t="s">
        <v>19</v>
      </c>
      <c r="H10" s="1" t="s">
        <v>20</v>
      </c>
      <c r="I10" s="2"/>
      <c r="J10" s="2" t="s">
        <v>21</v>
      </c>
      <c r="K10" s="4">
        <f>$C$40</f>
        <v>0</v>
      </c>
    </row>
    <row r="11" spans="1:11" ht="12" customHeight="1" x14ac:dyDescent="0.3">
      <c r="A11" s="2">
        <v>1</v>
      </c>
      <c r="B11" s="5" t="s">
        <v>22</v>
      </c>
      <c r="C11" s="5"/>
      <c r="D11" s="5"/>
      <c r="E11" s="3" t="s">
        <v>23</v>
      </c>
      <c r="F11" s="4">
        <f t="shared" ref="F11:F23" si="0">IF($B11="Attended",0.4*$C11/100,0)</f>
        <v>0</v>
      </c>
      <c r="G11" s="4">
        <f t="shared" ref="G11:G23" si="1">IF($B11="Excused",0.6*$D11/100,IF($B11="Unexcused",IF($E11="On time",0.3,0.1)*$D11/100,IF($E11="On time",0.2,0.1)*$D11/100))</f>
        <v>0</v>
      </c>
      <c r="H11" s="4">
        <f t="shared" ref="H11:H23" si="2">F11+G11</f>
        <v>0</v>
      </c>
      <c r="I11" s="2"/>
      <c r="J11" s="2" t="s">
        <v>24</v>
      </c>
      <c r="K11" s="4">
        <f>K5+K8+K9+K10</f>
        <v>0</v>
      </c>
    </row>
    <row r="12" spans="1:11" ht="12" customHeight="1" x14ac:dyDescent="0.3">
      <c r="A12" s="2">
        <v>2</v>
      </c>
      <c r="B12" s="5" t="s">
        <v>22</v>
      </c>
      <c r="C12" s="5"/>
      <c r="D12" s="5"/>
      <c r="E12" s="3" t="s">
        <v>23</v>
      </c>
      <c r="F12" s="4">
        <f t="shared" si="0"/>
        <v>0</v>
      </c>
      <c r="G12" s="4">
        <f t="shared" si="1"/>
        <v>0</v>
      </c>
      <c r="H12" s="4">
        <f t="shared" si="2"/>
        <v>0</v>
      </c>
      <c r="I12" s="2"/>
      <c r="J12" s="2" t="s">
        <v>25</v>
      </c>
      <c r="K12" s="4">
        <f>(K6+K8+K10)/0.9+K7</f>
        <v>0</v>
      </c>
    </row>
    <row r="13" spans="1:11" ht="12" customHeight="1" x14ac:dyDescent="0.3">
      <c r="A13" s="2">
        <v>3</v>
      </c>
      <c r="B13" s="5" t="s">
        <v>22</v>
      </c>
      <c r="C13" s="5"/>
      <c r="D13" s="5"/>
      <c r="E13" s="3" t="s">
        <v>23</v>
      </c>
      <c r="F13" s="4">
        <f t="shared" si="0"/>
        <v>0</v>
      </c>
      <c r="G13" s="4">
        <f t="shared" si="1"/>
        <v>0</v>
      </c>
      <c r="H13" s="4">
        <f t="shared" si="2"/>
        <v>0</v>
      </c>
      <c r="I13" s="2"/>
      <c r="J13" s="9" t="s">
        <v>26</v>
      </c>
      <c r="K13" s="10" t="str">
        <f>IF($B$40="","",IF($B$40&lt;$B$6,"Fail",MIN(100,MAX(K11,K12))))</f>
        <v/>
      </c>
    </row>
    <row r="14" spans="1:11" ht="12" customHeight="1" x14ac:dyDescent="0.3">
      <c r="A14" s="2">
        <v>4</v>
      </c>
      <c r="B14" s="5" t="s">
        <v>22</v>
      </c>
      <c r="C14" s="5"/>
      <c r="D14" s="5"/>
      <c r="E14" s="3" t="s">
        <v>23</v>
      </c>
      <c r="F14" s="4">
        <f t="shared" si="0"/>
        <v>0</v>
      </c>
      <c r="G14" s="4">
        <f t="shared" si="1"/>
        <v>0</v>
      </c>
      <c r="H14" s="4">
        <f t="shared" si="2"/>
        <v>0</v>
      </c>
      <c r="I14" s="2"/>
      <c r="J14" s="2"/>
      <c r="K14" s="2"/>
    </row>
    <row r="15" spans="1:11" ht="12" customHeight="1" x14ac:dyDescent="0.3">
      <c r="A15" s="2">
        <v>5</v>
      </c>
      <c r="B15" s="5" t="s">
        <v>22</v>
      </c>
      <c r="C15" s="5"/>
      <c r="D15" s="5"/>
      <c r="E15" s="3" t="s">
        <v>23</v>
      </c>
      <c r="F15" s="4">
        <f t="shared" si="0"/>
        <v>0</v>
      </c>
      <c r="G15" s="4">
        <f t="shared" si="1"/>
        <v>0</v>
      </c>
      <c r="H15" s="4">
        <f t="shared" si="2"/>
        <v>0</v>
      </c>
      <c r="I15" s="2"/>
      <c r="J15" s="2"/>
      <c r="K15" s="2"/>
    </row>
    <row r="16" spans="1:11" ht="12" customHeight="1" x14ac:dyDescent="0.3">
      <c r="A16" s="2">
        <v>6</v>
      </c>
      <c r="B16" s="5" t="s">
        <v>22</v>
      </c>
      <c r="C16" s="5"/>
      <c r="D16" s="5"/>
      <c r="E16" s="3" t="s">
        <v>23</v>
      </c>
      <c r="F16" s="4">
        <f t="shared" si="0"/>
        <v>0</v>
      </c>
      <c r="G16" s="4">
        <f t="shared" si="1"/>
        <v>0</v>
      </c>
      <c r="H16" s="4">
        <f t="shared" si="2"/>
        <v>0</v>
      </c>
      <c r="I16" s="2"/>
      <c r="J16" s="2"/>
      <c r="K16" s="2"/>
    </row>
    <row r="17" spans="1:11" ht="12" customHeight="1" x14ac:dyDescent="0.3">
      <c r="A17" s="2">
        <v>7</v>
      </c>
      <c r="B17" s="5" t="s">
        <v>22</v>
      </c>
      <c r="C17" s="5"/>
      <c r="D17" s="5"/>
      <c r="E17" s="3" t="s">
        <v>23</v>
      </c>
      <c r="F17" s="4">
        <f t="shared" si="0"/>
        <v>0</v>
      </c>
      <c r="G17" s="4">
        <f t="shared" si="1"/>
        <v>0</v>
      </c>
      <c r="H17" s="4">
        <f t="shared" si="2"/>
        <v>0</v>
      </c>
      <c r="I17" s="2"/>
      <c r="J17" s="2"/>
      <c r="K17" s="2"/>
    </row>
    <row r="18" spans="1:11" ht="12" customHeight="1" x14ac:dyDescent="0.3">
      <c r="A18" s="2">
        <v>8</v>
      </c>
      <c r="B18" s="5" t="s">
        <v>22</v>
      </c>
      <c r="C18" s="5"/>
      <c r="D18" s="5"/>
      <c r="E18" s="3" t="s">
        <v>23</v>
      </c>
      <c r="F18" s="4">
        <f t="shared" si="0"/>
        <v>0</v>
      </c>
      <c r="G18" s="4">
        <f t="shared" si="1"/>
        <v>0</v>
      </c>
      <c r="H18" s="4">
        <f t="shared" si="2"/>
        <v>0</v>
      </c>
      <c r="I18" s="2"/>
      <c r="J18" s="2"/>
      <c r="K18" s="2"/>
    </row>
    <row r="19" spans="1:11" ht="12" customHeight="1" x14ac:dyDescent="0.3">
      <c r="A19" s="2">
        <v>9</v>
      </c>
      <c r="B19" s="5" t="s">
        <v>22</v>
      </c>
      <c r="C19" s="5"/>
      <c r="D19" s="5"/>
      <c r="E19" s="3" t="s">
        <v>23</v>
      </c>
      <c r="F19" s="4">
        <f t="shared" si="0"/>
        <v>0</v>
      </c>
      <c r="G19" s="4">
        <f t="shared" si="1"/>
        <v>0</v>
      </c>
      <c r="H19" s="4">
        <f t="shared" si="2"/>
        <v>0</v>
      </c>
      <c r="I19" s="2"/>
      <c r="J19" s="2"/>
      <c r="K19" s="2"/>
    </row>
    <row r="20" spans="1:11" ht="12" customHeight="1" x14ac:dyDescent="0.3">
      <c r="A20" s="2">
        <v>10</v>
      </c>
      <c r="B20" s="5" t="s">
        <v>22</v>
      </c>
      <c r="C20" s="5"/>
      <c r="D20" s="5"/>
      <c r="E20" s="3" t="s">
        <v>23</v>
      </c>
      <c r="F20" s="4">
        <f t="shared" si="0"/>
        <v>0</v>
      </c>
      <c r="G20" s="4">
        <f t="shared" si="1"/>
        <v>0</v>
      </c>
      <c r="H20" s="4">
        <f t="shared" si="2"/>
        <v>0</v>
      </c>
      <c r="I20" s="2"/>
      <c r="J20" s="2"/>
      <c r="K20" s="2"/>
    </row>
    <row r="21" spans="1:11" ht="12" customHeight="1" x14ac:dyDescent="0.3">
      <c r="A21" s="2">
        <v>11</v>
      </c>
      <c r="B21" s="5" t="s">
        <v>22</v>
      </c>
      <c r="C21" s="5"/>
      <c r="D21" s="5"/>
      <c r="E21" s="3" t="s">
        <v>23</v>
      </c>
      <c r="F21" s="4">
        <f t="shared" si="0"/>
        <v>0</v>
      </c>
      <c r="G21" s="4">
        <f t="shared" si="1"/>
        <v>0</v>
      </c>
      <c r="H21" s="4">
        <f t="shared" si="2"/>
        <v>0</v>
      </c>
      <c r="I21" s="2"/>
      <c r="J21" s="2"/>
      <c r="K21" s="2"/>
    </row>
    <row r="22" spans="1:11" ht="12" customHeight="1" x14ac:dyDescent="0.3">
      <c r="A22" s="2">
        <v>12</v>
      </c>
      <c r="B22" s="5" t="s">
        <v>22</v>
      </c>
      <c r="C22" s="5"/>
      <c r="D22" s="5"/>
      <c r="E22" s="3" t="s">
        <v>23</v>
      </c>
      <c r="F22" s="4">
        <f t="shared" si="0"/>
        <v>0</v>
      </c>
      <c r="G22" s="4">
        <f t="shared" si="1"/>
        <v>0</v>
      </c>
      <c r="H22" s="4">
        <f t="shared" si="2"/>
        <v>0</v>
      </c>
      <c r="I22" s="2"/>
      <c r="J22" s="2"/>
      <c r="K22" s="2"/>
    </row>
    <row r="23" spans="1:11" ht="12" customHeight="1" x14ac:dyDescent="0.3">
      <c r="A23" s="2">
        <v>13</v>
      </c>
      <c r="B23" s="5" t="s">
        <v>22</v>
      </c>
      <c r="C23" s="5"/>
      <c r="D23" s="5"/>
      <c r="E23" s="3" t="s">
        <v>23</v>
      </c>
      <c r="F23" s="4">
        <f t="shared" si="0"/>
        <v>0</v>
      </c>
      <c r="G23" s="4">
        <f t="shared" si="1"/>
        <v>0</v>
      </c>
      <c r="H23" s="4">
        <f t="shared" si="2"/>
        <v>0</v>
      </c>
      <c r="I23" s="2"/>
      <c r="J23" s="2"/>
      <c r="K23" s="2"/>
    </row>
    <row r="24" spans="1:11" ht="12" customHeight="1" x14ac:dyDescent="0.3">
      <c r="A24" s="2"/>
      <c r="B24" s="2"/>
      <c r="C24" s="2"/>
      <c r="D24" s="2"/>
      <c r="E24" s="2"/>
      <c r="F24" s="6"/>
      <c r="G24" s="6"/>
      <c r="H24" s="6"/>
      <c r="I24" s="2"/>
      <c r="J24" s="2"/>
      <c r="K24" s="2"/>
    </row>
    <row r="25" spans="1:11" ht="12" customHeight="1" x14ac:dyDescent="0.3">
      <c r="A25" s="2"/>
      <c r="B25" s="2"/>
      <c r="C25" s="2"/>
      <c r="D25" s="2"/>
      <c r="E25" s="2"/>
      <c r="F25" s="6"/>
      <c r="G25" s="7" t="s">
        <v>27</v>
      </c>
      <c r="H25" s="7">
        <f>MIN(7.8,SUM(H11:H23))</f>
        <v>0</v>
      </c>
      <c r="I25" s="2"/>
      <c r="J25" s="2"/>
      <c r="K25" s="2"/>
    </row>
    <row r="26" spans="1:11" ht="21.15" customHeight="1" x14ac:dyDescent="0.3">
      <c r="A26" s="2"/>
      <c r="B26" s="2"/>
      <c r="C26" s="2"/>
      <c r="D26" s="2"/>
      <c r="E26" s="2"/>
      <c r="F26" s="6"/>
      <c r="G26" s="7" t="s">
        <v>8</v>
      </c>
      <c r="H26" s="7">
        <f>MIN(5,H25)</f>
        <v>0</v>
      </c>
      <c r="I26" s="2"/>
      <c r="J26" s="2"/>
      <c r="K26" s="2"/>
    </row>
    <row r="27" spans="1:11" ht="21.15" customHeight="1" x14ac:dyDescent="0.3">
      <c r="A27" s="2"/>
      <c r="B27" s="2"/>
      <c r="C27" s="2"/>
      <c r="D27" s="2"/>
      <c r="E27" s="2"/>
      <c r="F27" s="6"/>
      <c r="G27" s="7" t="s">
        <v>28</v>
      </c>
      <c r="H27" s="7">
        <f>MAX(0,H25-5)</f>
        <v>0</v>
      </c>
      <c r="I27" s="2"/>
      <c r="J27" s="2"/>
      <c r="K27" s="2"/>
    </row>
    <row r="28" spans="1:11" ht="12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42.15" customHeight="1" x14ac:dyDescent="0.3">
      <c r="A29" s="13" t="s">
        <v>29</v>
      </c>
      <c r="B29" s="13"/>
      <c r="C29" s="13"/>
      <c r="D29" s="13"/>
      <c r="E29" s="13"/>
      <c r="F29" s="2"/>
      <c r="G29" s="2"/>
      <c r="H29" s="2"/>
      <c r="I29" s="2"/>
      <c r="J29" s="2"/>
      <c r="K29" s="2"/>
    </row>
    <row r="30" spans="1:11" ht="21.15" customHeight="1" x14ac:dyDescent="0.3">
      <c r="A30" s="1" t="s">
        <v>30</v>
      </c>
      <c r="B30" s="1" t="s">
        <v>31</v>
      </c>
      <c r="C30" s="1" t="s">
        <v>32</v>
      </c>
      <c r="D30" s="1" t="s">
        <v>33</v>
      </c>
      <c r="E30" s="1" t="s">
        <v>34</v>
      </c>
      <c r="F30" s="2"/>
      <c r="G30" s="2"/>
      <c r="H30" s="2"/>
      <c r="I30" s="2"/>
      <c r="J30" s="2"/>
      <c r="K30" s="2"/>
    </row>
    <row r="31" spans="1:11" ht="12" customHeight="1" x14ac:dyDescent="0.3">
      <c r="A31" s="2">
        <v>1</v>
      </c>
      <c r="B31" s="5"/>
      <c r="C31" s="3" t="s">
        <v>35</v>
      </c>
      <c r="D31" s="4">
        <f>IF(C31="Yes",5,3)</f>
        <v>5</v>
      </c>
      <c r="E31" s="4">
        <f>MIN(B31/100*5,D31)</f>
        <v>0</v>
      </c>
      <c r="F31" s="2"/>
      <c r="G31" s="2"/>
      <c r="H31" s="2"/>
      <c r="I31" s="2"/>
      <c r="J31" s="2"/>
      <c r="K31" s="2"/>
    </row>
    <row r="32" spans="1:11" ht="12" customHeight="1" x14ac:dyDescent="0.3">
      <c r="A32" s="2">
        <v>2</v>
      </c>
      <c r="B32" s="5"/>
      <c r="C32" s="3" t="s">
        <v>35</v>
      </c>
      <c r="D32" s="4">
        <f>IF(C32="Yes",5,3)</f>
        <v>5</v>
      </c>
      <c r="E32" s="4">
        <f>MIN(B32/100*5,D32)</f>
        <v>0</v>
      </c>
      <c r="F32" s="2"/>
      <c r="G32" s="2"/>
      <c r="H32" s="2"/>
      <c r="I32" s="2"/>
      <c r="J32" s="2"/>
      <c r="K32" s="2"/>
    </row>
    <row r="33" spans="1:11" ht="12" customHeight="1" x14ac:dyDescent="0.3">
      <c r="A33" s="2">
        <v>3</v>
      </c>
      <c r="B33" s="5"/>
      <c r="C33" s="3" t="s">
        <v>35</v>
      </c>
      <c r="D33" s="4">
        <f>IF(C33="Yes",5,3)</f>
        <v>5</v>
      </c>
      <c r="E33" s="4">
        <f>MIN(B33/100*5,D33)</f>
        <v>0</v>
      </c>
      <c r="F33" s="2"/>
      <c r="G33" s="2"/>
      <c r="H33" s="2"/>
      <c r="I33" s="2"/>
      <c r="J33" s="2"/>
      <c r="K33" s="2"/>
    </row>
    <row r="34" spans="1:11" ht="12" customHeight="1" x14ac:dyDescent="0.3">
      <c r="A34" s="2"/>
      <c r="B34" s="2"/>
      <c r="C34" s="2"/>
      <c r="D34" s="6"/>
      <c r="E34" s="6"/>
      <c r="F34" s="2"/>
      <c r="G34" s="2"/>
      <c r="H34" s="2"/>
      <c r="I34" s="2"/>
      <c r="J34" s="2"/>
      <c r="K34" s="2"/>
    </row>
    <row r="35" spans="1:11" ht="12" customHeight="1" x14ac:dyDescent="0.3">
      <c r="A35" s="2"/>
      <c r="B35" s="2"/>
      <c r="C35" s="2"/>
      <c r="D35" s="7" t="s">
        <v>36</v>
      </c>
      <c r="E35" s="7">
        <f>SUM(E31:E33)</f>
        <v>0</v>
      </c>
      <c r="F35" s="2"/>
      <c r="G35" s="2"/>
      <c r="H35" s="2"/>
      <c r="I35" s="2"/>
      <c r="J35" s="2"/>
      <c r="K35" s="2"/>
    </row>
    <row r="36" spans="1:11" ht="12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2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21.15" customHeight="1" x14ac:dyDescent="0.3">
      <c r="A38" s="13" t="s">
        <v>37</v>
      </c>
      <c r="B38" s="13"/>
      <c r="C38" s="13"/>
      <c r="D38" s="2"/>
      <c r="E38" s="2"/>
      <c r="F38" s="2"/>
      <c r="G38" s="2"/>
      <c r="H38" s="2"/>
      <c r="I38" s="2"/>
      <c r="J38" s="2"/>
      <c r="K38" s="2"/>
    </row>
    <row r="39" spans="1:11" ht="31.2" customHeight="1" x14ac:dyDescent="0.3">
      <c r="A39" s="2" t="s">
        <v>38</v>
      </c>
      <c r="B39" s="8"/>
      <c r="C39" s="4">
        <f>0.1*B39</f>
        <v>0</v>
      </c>
      <c r="D39" s="2"/>
      <c r="E39" s="2"/>
      <c r="F39" s="2"/>
      <c r="G39" s="2"/>
      <c r="H39" s="2"/>
      <c r="I39" s="2"/>
      <c r="J39" s="2"/>
      <c r="K39" s="2"/>
    </row>
    <row r="40" spans="1:11" ht="34.200000000000003" customHeight="1" x14ac:dyDescent="0.3">
      <c r="A40" s="2" t="s">
        <v>39</v>
      </c>
      <c r="B40" s="8"/>
      <c r="C40" s="4">
        <f>0.7*B40</f>
        <v>0</v>
      </c>
      <c r="D40" s="2"/>
      <c r="E40" s="2"/>
      <c r="F40" s="2"/>
      <c r="G40" s="2"/>
      <c r="H40" s="2"/>
      <c r="I40" s="2"/>
      <c r="J40" s="2"/>
      <c r="K40" s="2"/>
    </row>
    <row r="41" spans="1:11" ht="12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2" customHeight="1" x14ac:dyDescent="0.3">
      <c r="A42" s="13" t="s">
        <v>40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spans="1:11" ht="105.6" customHeight="1" x14ac:dyDescent="0.3">
      <c r="A43" s="14" t="s">
        <v>41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 ht="105.6" customHeight="1" x14ac:dyDescent="0.3">
      <c r="A44" s="14" t="s">
        <v>42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 ht="95.1" customHeight="1" x14ac:dyDescent="0.3">
      <c r="A45" s="14" t="s">
        <v>43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mergeCells count="9">
    <mergeCell ref="A42:K42"/>
    <mergeCell ref="A43:K43"/>
    <mergeCell ref="A44:K44"/>
    <mergeCell ref="A45:K45"/>
    <mergeCell ref="A1:K1"/>
    <mergeCell ref="A2:K2"/>
    <mergeCell ref="A9:H9"/>
    <mergeCell ref="A29:E29"/>
    <mergeCell ref="A38:C38"/>
  </mergeCells>
  <conditionalFormatting sqref="B40">
    <cfRule type="cellIs" dxfId="1" priority="1" operator="lessThan">
      <formula>$B$6</formula>
    </cfRule>
  </conditionalFormatting>
  <conditionalFormatting sqref="K13">
    <cfRule type="expression" dxfId="0" priority="2">
      <formula>$B$40&lt;$B$6</formula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Lists!$A$2:$A$4</xm:f>
          </x14:formula1>
          <xm:sqref>B11:B23</xm:sqref>
        </x14:dataValidation>
        <x14:dataValidation type="list" xr:uid="{00000000-0002-0000-0000-000001000000}">
          <x14:formula1>
            <xm:f>Lists!$B$2:$B$3</xm:f>
          </x14:formula1>
          <xm:sqref>E11:E23</xm:sqref>
        </x14:dataValidation>
        <x14:dataValidation type="list" xr:uid="{00000000-0002-0000-0000-000002000000}">
          <x14:formula1>
            <xm:f>Lists!$C$2:$C$3</xm:f>
          </x14:formula1>
          <xm:sqref>C31:C33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4" x14ac:dyDescent="0.3"/>
  <cols>
    <col min="1" max="3" width="24" customWidth="1"/>
  </cols>
  <sheetData>
    <row r="1" spans="1:3" x14ac:dyDescent="0.3">
      <c r="A1" s="1" t="s">
        <v>14</v>
      </c>
      <c r="B1" s="1" t="s">
        <v>17</v>
      </c>
      <c r="C1" s="1" t="s">
        <v>44</v>
      </c>
    </row>
    <row r="2" spans="1:3" x14ac:dyDescent="0.3">
      <c r="A2" t="s">
        <v>22</v>
      </c>
      <c r="B2" t="s">
        <v>23</v>
      </c>
      <c r="C2" t="s">
        <v>35</v>
      </c>
    </row>
    <row r="3" spans="1:3" x14ac:dyDescent="0.3">
      <c r="A3" t="s">
        <v>45</v>
      </c>
      <c r="B3" t="s">
        <v>46</v>
      </c>
      <c r="C3" t="s">
        <v>47</v>
      </c>
    </row>
    <row r="4" spans="1:3" x14ac:dyDescent="0.3">
      <c r="A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Calculator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Opher Donchin</cp:lastModifiedBy>
  <dcterms:modified xsi:type="dcterms:W3CDTF">2026-05-05T20:53:11Z</dcterms:modified>
</cp:coreProperties>
</file>